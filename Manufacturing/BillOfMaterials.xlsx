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6454037E-8443-4B32-8F3C-DFE9116405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</calcChain>
</file>

<file path=xl/sharedStrings.xml><?xml version="1.0" encoding="utf-8"?>
<sst xmlns="http://schemas.openxmlformats.org/spreadsheetml/2006/main" count="386" uniqueCount="241">
  <si>
    <t>Reference Designators</t>
  </si>
  <si>
    <t>Quantity</t>
  </si>
  <si>
    <t>Description</t>
  </si>
  <si>
    <t>Datasheet</t>
  </si>
  <si>
    <t>Purchase Link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</si>
  <si>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</si>
  <si>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</si>
  <si>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</si>
  <si>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</si>
  <si>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</si>
  <si>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</si>
  <si>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</si>
  <si>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>PCB Board</t>
  </si>
  <si>
    <t>Board</t>
  </si>
  <si>
    <t>3.3V, 3V3, GND, ON, OP, RESET, SCL, SDA, SWDCLK, SWDIO, SWO, TP_BAT_GND, VBAT, VREG</t>
  </si>
  <si>
    <t>Test pad</t>
  </si>
  <si>
    <t>HECTOR_WATCH_1_TP20R</t>
  </si>
  <si>
    <t>HECTOR_WATCH_1_TPTP20R</t>
  </si>
  <si>
    <t>Top</t>
  </si>
  <si>
    <t>ANT1</t>
  </si>
  <si>
    <t>Antennas 2.45GHz ANTENNA</t>
  </si>
  <si>
    <t>2450AT18B100E_ANTC3216X140N</t>
  </si>
  <si>
    <t>2450AT18B100E</t>
  </si>
  <si>
    <t>Johanson Technology</t>
  </si>
  <si>
    <t>LCSC</t>
  </si>
  <si>
    <t>C2836414</t>
  </si>
  <si>
    <t>https://www.johansontechnology.com/docs/1187/2450AT18B100_X8XXogU.pdf</t>
  </si>
  <si>
    <t>https://jlcpcb.com/partdetail/C2836414</t>
  </si>
  <si>
    <t>C1, C2, C17, C18</t>
  </si>
  <si>
    <t>Generic chip capacitor</t>
  </si>
  <si>
    <t>NORDIC_NRF_3_RESC0201_L</t>
  </si>
  <si>
    <t>12pF</t>
  </si>
  <si>
    <t>Murata</t>
  </si>
  <si>
    <t>GRM0335C1H120JA01D</t>
  </si>
  <si>
    <t>C106295</t>
  </si>
  <si>
    <t>https://www.murata.com/</t>
  </si>
  <si>
    <t>https://jlcpcb.com/partdetail/C106295</t>
  </si>
  <si>
    <t>C1-EP-DR, C24, C39</t>
  </si>
  <si>
    <t>10uF</t>
  </si>
  <si>
    <t>GRM155R60J106ME15</t>
  </si>
  <si>
    <t>https://device.report/manual/8918227</t>
  </si>
  <si>
    <t>C2-EP-DR, C43</t>
  </si>
  <si>
    <t>4.7uF</t>
  </si>
  <si>
    <t>C3, C4</t>
  </si>
  <si>
    <t>1pF</t>
  </si>
  <si>
    <t>C5, C7, C12, C19</t>
  </si>
  <si>
    <t>100nF</t>
  </si>
  <si>
    <t>GRM033R60J104KE19D</t>
  </si>
  <si>
    <t>C6, C14, C20, C21</t>
  </si>
  <si>
    <t>4.7μF</t>
  </si>
  <si>
    <t>C8</t>
  </si>
  <si>
    <t>100nF N.C.</t>
  </si>
  <si>
    <t>C9</t>
  </si>
  <si>
    <t>820pF</t>
  </si>
  <si>
    <t>C10, C13, C22</t>
  </si>
  <si>
    <t>N.C.</t>
  </si>
  <si>
    <t>C11</t>
  </si>
  <si>
    <t>100pF</t>
  </si>
  <si>
    <t>C15</t>
  </si>
  <si>
    <t>1.0μF</t>
  </si>
  <si>
    <t>C16</t>
  </si>
  <si>
    <t>47nF</t>
  </si>
  <si>
    <t>C23, C27, C34, C42</t>
  </si>
  <si>
    <t>Check availability</t>
  </si>
  <si>
    <t>CAPC0201X13N</t>
  </si>
  <si>
    <t>0.1uF</t>
  </si>
  <si>
    <t>C25, C33</t>
  </si>
  <si>
    <t>22uF</t>
  </si>
  <si>
    <t>GRM188R61A226ME15D</t>
  </si>
  <si>
    <t>C29, C30, C31, C32, C37, C38</t>
  </si>
  <si>
    <t>1uF</t>
  </si>
  <si>
    <t>D2, D4, D5</t>
  </si>
  <si>
    <t>ON SEMICONDUCTOR - MBR0530 - DIODE, SCHOTTKY, 0.5A, 30V, SOD-123</t>
  </si>
  <si>
    <t>SOD3716X135N</t>
  </si>
  <si>
    <t>MBR0530</t>
  </si>
  <si>
    <t>ON Semiconductor</t>
  </si>
  <si>
    <t>C475718</t>
  </si>
  <si>
    <t>https://www.onsemi.com/pdf/datasheet/mbr0530-d.pdf</t>
  </si>
  <si>
    <t>https://jlcpcb.com/partdetail/C475718</t>
  </si>
  <si>
    <t>D3</t>
  </si>
  <si>
    <t>Low Cap. ESD Protection Auto SOT-23-6 STMicroelectronics USBLC6-2SC6Y, Dual Uni-Directional TVS Diode Array, 6-Pin SOT-23</t>
  </si>
  <si>
    <t>SOT95P280X145-6N</t>
  </si>
  <si>
    <t>USBLC6-2SC6Y</t>
  </si>
  <si>
    <t>STMicroelectronics</t>
  </si>
  <si>
    <t>C323793</t>
  </si>
  <si>
    <t>https://www.st.com/resource/en/datasheet/usblc6-2sc6y.pdf</t>
  </si>
  <si>
    <t>https://jlcpcb.com/partdetail/C323793</t>
  </si>
  <si>
    <t>EPD_C1, EPD_C2, EPD_C6, EPD_C7, EPD_C8, EPD_C9, EPD_C10, EPD_C11, EPD_C12</t>
  </si>
  <si>
    <t>1uF/50V</t>
  </si>
  <si>
    <t>EPD_C5</t>
  </si>
  <si>
    <t>0.1uF/50V</t>
  </si>
  <si>
    <t>IC1</t>
  </si>
  <si>
    <t>Charger IC Lithium Ion/Polymer, Lithium Iron Phosphate 8-DSBGA (1.6x1.1)</t>
  </si>
  <si>
    <t>BQ25180YBGR_BGA8C40P2X4_100X155X50</t>
  </si>
  <si>
    <t>BQ25180YBGR</t>
  </si>
  <si>
    <t>Texas Instruments</t>
  </si>
  <si>
    <t>C3682423</t>
  </si>
  <si>
    <t>https://www.ti.com/lit/ds/symlink/bq25180.pdf</t>
  </si>
  <si>
    <t>https://jlcpcb.com/partdetail/C3682423</t>
  </si>
  <si>
    <t>IC2</t>
  </si>
  <si>
    <t>Haptic Driver for ERM/LRA with Built-In Library and Smart Loop Architecture</t>
  </si>
  <si>
    <t>DRV2605YZFR_BGA9C50P3X3_144X144X62</t>
  </si>
  <si>
    <t>DRV2605YZFR</t>
  </si>
  <si>
    <t>C81079</t>
  </si>
  <si>
    <t>https://www.ti.com/lit/ds/symlink/drv2605.pdf</t>
  </si>
  <si>
    <t>https://jlcpcb.com/partdetail/C81079</t>
  </si>
  <si>
    <t>IC3</t>
  </si>
  <si>
    <t>Accelerometers Triaxial low-g 12bit Acceleration Sensor</t>
  </si>
  <si>
    <t>BMA423_BMA423</t>
  </si>
  <si>
    <t>BMA423</t>
  </si>
  <si>
    <t>Bosch Sensortec</t>
  </si>
  <si>
    <t>C189517</t>
  </si>
  <si>
    <t>https://mm.digikey.com/Volume0/opasdata/d220001/medias/docus/876/BMA423_Rev2.0_Aug2019.pdf</t>
  </si>
  <si>
    <t>https://jlcpcb.com/partdetail/C189517</t>
  </si>
  <si>
    <t>IC9</t>
  </si>
  <si>
    <t>Buck-Boost Regulator Positive Output Step-Up/Step-Down I2C DC-DC Controller IC 15-WL-CSP (BSC) (1.4x2.3)</t>
  </si>
  <si>
    <t>RT6160AWSC_BGA15C40P3X5_140X230X60</t>
  </si>
  <si>
    <t>RT6160AWSC</t>
  </si>
  <si>
    <t>Richtek</t>
  </si>
  <si>
    <t>C3028302</t>
  </si>
  <si>
    <t>https://www.richtek.com/m/~/media/EVB%20PDF%20File/EVB_RT6160AWSC/EVB_RT6160AWSC-00_EN.pdf</t>
  </si>
  <si>
    <t>https://jlcpcb.com/partdetail/C3028302</t>
  </si>
  <si>
    <t>J1</t>
  </si>
  <si>
    <t>CABLE ADAPTER 6 POS</t>
  </si>
  <si>
    <t>TC2030-IDC_TC2030IDC</t>
  </si>
  <si>
    <t>TC2030-IDC</t>
  </si>
  <si>
    <t>Tag-Connect</t>
  </si>
  <si>
    <t>https://www.tag-connect.com/wp-content/uploads/bsk-pdf-manager/2019/12/TC2030-IDC-Datasheet-Rev-B.pdf</t>
  </si>
  <si>
    <t>J2</t>
  </si>
  <si>
    <t>FFC &amp; FPC Connectors 0.5mm FPC RA SMT Dual Contact 24Ckt</t>
  </si>
  <si>
    <t>503480-2400_5034802400</t>
  </si>
  <si>
    <t>503480-2400</t>
  </si>
  <si>
    <t>Molex</t>
  </si>
  <si>
    <t>C234192</t>
  </si>
  <si>
    <t>https://www.molex.com/content/dam/molex/molex-dot-com/en_us/pdf/datasheets/987651-8371.pdf</t>
  </si>
  <si>
    <t>https://jlcpcb.com/partdetail/C234192</t>
  </si>
  <si>
    <t>J3</t>
  </si>
  <si>
    <t>KINGHELM_KH-TYPE-C-16P</t>
  </si>
  <si>
    <t>KH-TYPE-C-16P</t>
  </si>
  <si>
    <t>Shenzhen Kinghelm</t>
  </si>
  <si>
    <t>C709357</t>
  </si>
  <si>
    <t>https://datasheet.lcsc.com/lcsc/2304140030_Shenzhen-Kinghelm-Elec-KH-TYPE-C-16P_C709357.pdf</t>
  </si>
  <si>
    <t>https://jlcpcb.com/partdetail/C709357</t>
  </si>
  <si>
    <t>L$1</t>
  </si>
  <si>
    <t>Generic chip inductor</t>
  </si>
  <si>
    <t>NORDIC_NRF_2_RESC0402_L</t>
  </si>
  <si>
    <t>3.9nH</t>
  </si>
  <si>
    <t>L1</t>
  </si>
  <si>
    <t>ESP32_C6_LIBRARY_2_IND_4828-WE-TPC_WRE</t>
  </si>
  <si>
    <t>68uH</t>
  </si>
  <si>
    <t>L2</t>
  </si>
  <si>
    <t>NORDIC_NRF_2_RESC0201_L</t>
  </si>
  <si>
    <t>10μH</t>
  </si>
  <si>
    <t>L3</t>
  </si>
  <si>
    <t>15nH</t>
  </si>
  <si>
    <t>L7</t>
  </si>
  <si>
    <t>SMD / SMT Inductors (Coils), L=0.47?H, L x W x T :</t>
  </si>
  <si>
    <t>MLP2016SR47MT0S1_INDC2016X100N</t>
  </si>
  <si>
    <t>FTC252012SR47MBCA</t>
  </si>
  <si>
    <t>Changjiang</t>
  </si>
  <si>
    <t>C5832368</t>
  </si>
  <si>
    <t>https://jlcpcb.com/partdetail/C5832368</t>
  </si>
  <si>
    <t>Q1</t>
  </si>
  <si>
    <t>P-channel MOSFETs</t>
  </si>
  <si>
    <t>ESP32_WROVER_SPARKFUN-DISCRETESEMI_SOT23-3</t>
  </si>
  <si>
    <t>20V/4.2A/52mΩ/1.4W</t>
  </si>
  <si>
    <t>AOS</t>
  </si>
  <si>
    <t>AO3401A</t>
  </si>
  <si>
    <t>C15127</t>
  </si>
  <si>
    <t>https://aosmd.com/res/data_sheets/AO3401A.pdf</t>
  </si>
  <si>
    <t>https://jlcpcb.com/partdetail/C15127</t>
  </si>
  <si>
    <t>Q3</t>
  </si>
  <si>
    <t>MOSFET N-Ch 30V 1.5A TrenchFET SC70 Vishay Si1308EDL-T1-GE3 N-channel MOSFET Transistor, 1.5 A, 30 V, 3-Pin SC-70</t>
  </si>
  <si>
    <t>SOT65P210X110-3N</t>
  </si>
  <si>
    <t>SI1308EDL-T1-GE3</t>
  </si>
  <si>
    <t>Vishay Siliconix</t>
  </si>
  <si>
    <t>C7603347</t>
  </si>
  <si>
    <t>https://www.vishay.com/doc/?63399</t>
  </si>
  <si>
    <t>https://jlcpcb.com/partdetail/C7603347</t>
  </si>
  <si>
    <t>R_PWR_EPD</t>
  </si>
  <si>
    <t>7.68k 0201 Thin Film Surface Mount Fixed Resistor +/-0.5% 0.031W CPF0201D7K68C1</t>
  </si>
  <si>
    <t>R0201</t>
  </si>
  <si>
    <t>10k</t>
  </si>
  <si>
    <t>YAGEO</t>
  </si>
  <si>
    <t>RC0201FR-0710KL</t>
  </si>
  <si>
    <t>C106225</t>
  </si>
  <si>
    <t>https://www.yageo.com/upload/media/product/products/datasheet/rchip/PYu-RC_Group_51_RoHS_L_12.pdf</t>
  </si>
  <si>
    <t>https://jlcpcb.com/partdetail/C106225</t>
  </si>
  <si>
    <t>R_TYPE_SEL</t>
  </si>
  <si>
    <t>R1_EP_DR'</t>
  </si>
  <si>
    <t>R1_USB, R2_USB</t>
  </si>
  <si>
    <t>5K1</t>
  </si>
  <si>
    <t>R2, R3, R4</t>
  </si>
  <si>
    <t>R2_EP_DR, R5, R7, R8</t>
  </si>
  <si>
    <t>10K</t>
  </si>
  <si>
    <t>R9</t>
  </si>
  <si>
    <t>CPF0201D7K68C1_0201</t>
  </si>
  <si>
    <t>R17, R18</t>
  </si>
  <si>
    <t>3K3</t>
  </si>
  <si>
    <t>SJ1</t>
  </si>
  <si>
    <t>SMD solder JUMPER</t>
  </si>
  <si>
    <t>JUMPER_SJ</t>
  </si>
  <si>
    <t>SW_DN, SW_ENT, SW_UP</t>
  </si>
  <si>
    <t>SW_EVP-AKE31A_PAN</t>
  </si>
  <si>
    <t>2025-10-22_07-23-44_LIBRARY_EVP-AKE31ASW_EVP-AKE31A_PAN</t>
  </si>
  <si>
    <t>Panasonic</t>
  </si>
  <si>
    <t>EVP-AKE31A</t>
  </si>
  <si>
    <t>C22333</t>
  </si>
  <si>
    <t>https://industry.panasonic.com/global/en/products/control/switch/light-touch/number/evpake31a</t>
  </si>
  <si>
    <t>https://jlcpcb.com/partdetail/C22333</t>
  </si>
  <si>
    <t>U3</t>
  </si>
  <si>
    <t>SON50P200X200X80-9N</t>
  </si>
  <si>
    <t>MAX17048G+T10</t>
  </si>
  <si>
    <t>Maxim Integrated</t>
  </si>
  <si>
    <t>C2682616</t>
  </si>
  <si>
    <t>https://www.analog.com/en/MAX17048/datasheet</t>
  </si>
  <si>
    <t>https://jlcpcb.com/partdetail/C2682616</t>
  </si>
  <si>
    <t>U4</t>
  </si>
  <si>
    <t>nRF52840</t>
  </si>
  <si>
    <t>NORDIC_NRF_4_AQFN50P700X700X85_HS-74N</t>
  </si>
  <si>
    <t>NRF52840_QF</t>
  </si>
  <si>
    <t>Nordic Semiconductor</t>
  </si>
  <si>
    <t>NRF52840-QIAA-R</t>
  </si>
  <si>
    <t>C190794</t>
  </si>
  <si>
    <t>https://www.mouser.com/datasheet/2/297/nrf52840_soc_v3_0-2942478.pdf</t>
  </si>
  <si>
    <t>https://jlcpcb.com/partdetail/C190794</t>
  </si>
  <si>
    <t>X1</t>
  </si>
  <si>
    <t>NORDIC_NRF_BT-XTAL_2016_N</t>
  </si>
  <si>
    <t>32MHz</t>
  </si>
  <si>
    <t>NDK</t>
  </si>
  <si>
    <t>NT2016SA / NX2016SA</t>
  </si>
  <si>
    <t>C383840</t>
  </si>
  <si>
    <t>https://www.ndk.com/images/products/catalog/c_NT2016SA_AFC_e.pdf</t>
  </si>
  <si>
    <t>https://jlcpcb.com/partdetail/C383840</t>
  </si>
  <si>
    <t>X2</t>
  </si>
  <si>
    <t>NORDIC_NRF_1_XTAL_3215_N</t>
  </si>
  <si>
    <t>32.768kHz</t>
  </si>
  <si>
    <t>NX3215SA</t>
  </si>
  <si>
    <t>C7462225</t>
  </si>
  <si>
    <t>https://www.ndk.com/images/products/catalog/c_NX3215SA_e.pdf</t>
  </si>
  <si>
    <t>https://jlcpcb.com/partdetail/C7462225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</si>
</sst>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3"/>
      <color theme="3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Fill="1" applyAlignment="1">
      <alignment horizontal="center"/>
    </xf>
    <xf numFmtId="0" fontId="1" fillId="0" borderId="1" xfId="1" applyFill="1" applyAlignment="1"/>
    <xf numFmtId="0" fontId="2" fillId="0" borderId="0" xfId="2" applyAlignment="1"/>
  </cellXfs>
  <cellStyles count="3">
    <cellStyle name="Heading 2" xfId="1" builtinId="17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lcpcb.com/partdetail/C2836414" TargetMode="External"/><Relationship Id="rId1" Type="http://schemas.openxmlformats.org/officeDocument/2006/relationships/hyperlink" Target="https://www.johansontechnology.com/docs/1187/2450AT18B100_X8XXogU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>
      <selection activeCell="E31" sqref="E31"/>
    </sheetView>
  </sheetViews>
  <sheetFormatPr defaultRowHeight="15"/>
  <cols>
    <col min="1" max="1" width="81.7109375" bestFit="1" customWidth="1"/>
    <col min="2" max="2" width="10" bestFit="1" customWidth="1"/>
    <col min="3" max="3" width="111.140625" bestFit="1" customWidth="1"/>
    <col min="4" max="4" width="17" bestFit="1" customWidth="1"/>
    <col min="5" max="5" width="15" bestFit="1" customWidth="1"/>
    <col min="6" max="6" width="47.28515625" bestFit="1" customWidth="1"/>
    <col min="7" max="7" width="59.5703125" bestFit="1" customWidth="1"/>
    <col min="8" max="8" width="20.28515625" bestFit="1" customWidth="1"/>
    <col min="9" max="9" width="28.7109375" bestFit="1" customWidth="1"/>
    <col min="10" max="10" width="8.5703125" bestFit="1" customWidth="1"/>
    <col min="11" max="11" width="22.140625" bestFit="1" customWidth="1"/>
    <col min="12" max="12" width="13.5703125" bestFit="1" customWidth="1"/>
    <col min="13" max="13" width="99.5703125" hidden="1" customWidth="1"/>
    <col min="14" max="14" width="35.85546875" hidden="1" customWidth="1"/>
  </cols>
  <sheetData>
    <row r="1" spans="1:14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>
      <c r="B2">
        <v>1</v>
      </c>
      <c r="C2" t="s">
        <v>12</v>
      </c>
      <c r="D2" s="3" t="str">
        <f>IF(M2="", "", HYPERLINK(M2, "READ_DATASHEET"))</f>
        <v/>
      </c>
      <c r="E2" s="3" t="str">
        <f>IF(N2="", "", HYPERLINK(N2, "BUY_PART"))</f>
        <v/>
      </c>
      <c r="F2" t="s">
        <v>13</v>
      </c>
    </row>
    <row r="3" spans="1:14">
      <c r="A3" t="s">
        <v>14</v>
      </c>
      <c r="B3">
        <v>14</v>
      </c>
      <c r="C3" t="s">
        <v>15</v>
      </c>
      <c r="D3" s="3" t="str">
        <f>IF(M3="", "", HYPERLINK(M3, "READ_DATASHEET"))</f>
        <v/>
      </c>
      <c r="E3" s="3" t="str">
        <f>IF(N3="", "", HYPERLINK(N3, "BUY_PART"))</f>
        <v/>
      </c>
      <c r="F3" t="s">
        <v>16</v>
      </c>
      <c r="G3" t="s">
        <v>17</v>
      </c>
      <c r="L3" t="s">
        <v>18</v>
      </c>
    </row>
    <row r="4" spans="1:14">
      <c r="A4" t="s">
        <v>19</v>
      </c>
      <c r="B4">
        <v>1</v>
      </c>
      <c r="C4" t="s">
        <v>20</v>
      </c>
      <c r="D4" s="3" t="str">
        <f>IF(M4="", "", HYPERLINK(M4, "READ_DATASHEET"))</f>
        <v>READ_DATASHEET</v>
      </c>
      <c r="E4" s="3" t="str">
        <f>IF(N4="", "", HYPERLINK(N4, "BUY_PART"))</f>
        <v>BUY_PART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18</v>
      </c>
      <c r="M4" s="3" t="s">
        <v>26</v>
      </c>
      <c r="N4" s="3" t="s">
        <v>27</v>
      </c>
    </row>
    <row r="5" spans="1:14">
      <c r="A5" t="s">
        <v>28</v>
      </c>
      <c r="B5">
        <v>4</v>
      </c>
      <c r="C5" t="s">
        <v>29</v>
      </c>
      <c r="D5" s="3" t="str">
        <f>IF(M5="", "", HYPERLINK(M5, "READ_DATASHEET"))</f>
        <v>READ_DATASHEET</v>
      </c>
      <c r="E5" s="3" t="str">
        <f>IF(N5="", "", HYPERLINK(N5, "BUY_PART"))</f>
        <v>BUY_PART</v>
      </c>
      <c r="F5" t="s">
        <v>30</v>
      </c>
      <c r="G5" t="s">
        <v>31</v>
      </c>
      <c r="H5" t="s">
        <v>32</v>
      </c>
      <c r="I5" t="s">
        <v>33</v>
      </c>
      <c r="J5" t="s">
        <v>24</v>
      </c>
      <c r="K5" t="s">
        <v>34</v>
      </c>
      <c r="L5" t="s">
        <v>18</v>
      </c>
      <c r="M5" t="s">
        <v>35</v>
      </c>
      <c r="N5" t="s">
        <v>36</v>
      </c>
    </row>
    <row r="6" spans="1:14">
      <c r="A6" t="s">
        <v>37</v>
      </c>
      <c r="B6">
        <v>3</v>
      </c>
      <c r="C6" t="s">
        <v>29</v>
      </c>
      <c r="D6" s="3" t="str">
        <f>IF(M6="", "", HYPERLINK(M6, "READ_DATASHEET"))</f>
        <v>READ_DATASHEET</v>
      </c>
      <c r="E6" s="3" t="str">
        <f>IF(N6="", "", HYPERLINK(N6, "BUY_PART"))</f>
        <v/>
      </c>
      <c r="F6" t="s">
        <v>30</v>
      </c>
      <c r="G6" t="s">
        <v>38</v>
      </c>
      <c r="H6" t="s">
        <v>32</v>
      </c>
      <c r="I6" t="s">
        <v>39</v>
      </c>
      <c r="L6" t="s">
        <v>18</v>
      </c>
      <c r="M6" t="s">
        <v>40</v>
      </c>
    </row>
    <row r="7" spans="1:14">
      <c r="A7" t="s">
        <v>41</v>
      </c>
      <c r="B7">
        <v>2</v>
      </c>
      <c r="C7" t="s">
        <v>29</v>
      </c>
      <c r="D7" s="3" t="str">
        <f>IF(M7="", "", HYPERLINK(M7, "READ_DATASHEET"))</f>
        <v/>
      </c>
      <c r="E7" s="3" t="str">
        <f>IF(N7="", "", HYPERLINK(N7, "BUY_PART"))</f>
        <v/>
      </c>
      <c r="F7" t="s">
        <v>30</v>
      </c>
      <c r="G7" t="s">
        <v>42</v>
      </c>
      <c r="L7" t="s">
        <v>18</v>
      </c>
    </row>
    <row r="8" spans="1:14">
      <c r="A8" t="s">
        <v>43</v>
      </c>
      <c r="B8">
        <v>2</v>
      </c>
      <c r="C8" t="s">
        <v>29</v>
      </c>
      <c r="D8" s="3" t="str">
        <f>IF(M8="", "", HYPERLINK(M8, "READ_DATASHEET"))</f>
        <v/>
      </c>
      <c r="E8" s="3" t="str">
        <f>IF(N8="", "", HYPERLINK(N8, "BUY_PART"))</f>
        <v/>
      </c>
      <c r="F8" t="s">
        <v>30</v>
      </c>
      <c r="G8" t="s">
        <v>44</v>
      </c>
      <c r="L8" t="s">
        <v>18</v>
      </c>
    </row>
    <row r="9" spans="1:14">
      <c r="A9" t="s">
        <v>45</v>
      </c>
      <c r="B9">
        <v>4</v>
      </c>
      <c r="C9" t="s">
        <v>29</v>
      </c>
      <c r="D9" s="3" t="str">
        <f>IF(M9="", "", HYPERLINK(M9, "READ_DATASHEET"))</f>
        <v/>
      </c>
      <c r="E9" s="3" t="str">
        <f>IF(N9="", "", HYPERLINK(N9, "BUY_PART"))</f>
        <v/>
      </c>
      <c r="F9" t="s">
        <v>30</v>
      </c>
      <c r="G9" t="s">
        <v>46</v>
      </c>
      <c r="H9" t="s">
        <v>32</v>
      </c>
      <c r="I9" t="s">
        <v>47</v>
      </c>
      <c r="L9" t="s">
        <v>18</v>
      </c>
    </row>
    <row r="10" spans="1:14">
      <c r="A10" t="s">
        <v>48</v>
      </c>
      <c r="B10">
        <v>4</v>
      </c>
      <c r="C10" t="s">
        <v>29</v>
      </c>
      <c r="D10" s="3" t="str">
        <f>IF(M10="", "", HYPERLINK(M10, "READ_DATASHEET"))</f>
        <v/>
      </c>
      <c r="E10" s="3" t="str">
        <f>IF(N10="", "", HYPERLINK(N10, "BUY_PART"))</f>
        <v/>
      </c>
      <c r="F10" t="s">
        <v>30</v>
      </c>
      <c r="G10" t="s">
        <v>49</v>
      </c>
      <c r="L10" t="s">
        <v>18</v>
      </c>
    </row>
    <row r="11" spans="1:14">
      <c r="A11" t="s">
        <v>50</v>
      </c>
      <c r="B11">
        <v>1</v>
      </c>
      <c r="C11" t="s">
        <v>29</v>
      </c>
      <c r="D11" s="3" t="str">
        <f>IF(M11="", "", HYPERLINK(M11, "READ_DATASHEET"))</f>
        <v/>
      </c>
      <c r="E11" s="3" t="str">
        <f>IF(N11="", "", HYPERLINK(N11, "BUY_PART"))</f>
        <v/>
      </c>
      <c r="F11" t="s">
        <v>30</v>
      </c>
      <c r="G11" t="s">
        <v>51</v>
      </c>
      <c r="L11" t="s">
        <v>18</v>
      </c>
    </row>
    <row r="12" spans="1:14">
      <c r="A12" t="s">
        <v>52</v>
      </c>
      <c r="B12">
        <v>1</v>
      </c>
      <c r="C12" t="s">
        <v>29</v>
      </c>
      <c r="D12" s="3" t="str">
        <f>IF(M12="", "", HYPERLINK(M12, "READ_DATASHEET"))</f>
        <v/>
      </c>
      <c r="E12" s="3" t="str">
        <f>IF(N12="", "", HYPERLINK(N12, "BUY_PART"))</f>
        <v/>
      </c>
      <c r="F12" t="s">
        <v>30</v>
      </c>
      <c r="G12" t="s">
        <v>53</v>
      </c>
      <c r="L12" t="s">
        <v>18</v>
      </c>
    </row>
    <row r="13" spans="1:14">
      <c r="A13" t="s">
        <v>54</v>
      </c>
      <c r="B13">
        <v>3</v>
      </c>
      <c r="C13" t="s">
        <v>29</v>
      </c>
      <c r="D13" s="3" t="str">
        <f>IF(M13="", "", HYPERLINK(M13, "READ_DATASHEET"))</f>
        <v/>
      </c>
      <c r="E13" s="3" t="str">
        <f>IF(N13="", "", HYPERLINK(N13, "BUY_PART"))</f>
        <v/>
      </c>
      <c r="F13" t="s">
        <v>30</v>
      </c>
      <c r="G13" t="s">
        <v>55</v>
      </c>
      <c r="L13" t="s">
        <v>18</v>
      </c>
    </row>
    <row r="14" spans="1:14">
      <c r="A14" t="s">
        <v>56</v>
      </c>
      <c r="B14">
        <v>1</v>
      </c>
      <c r="C14" t="s">
        <v>29</v>
      </c>
      <c r="D14" s="3" t="str">
        <f>IF(M14="", "", HYPERLINK(M14, "READ_DATASHEET"))</f>
        <v/>
      </c>
      <c r="E14" s="3" t="str">
        <f>IF(N14="", "", HYPERLINK(N14, "BUY_PART"))</f>
        <v/>
      </c>
      <c r="F14" t="s">
        <v>30</v>
      </c>
      <c r="G14" t="s">
        <v>57</v>
      </c>
      <c r="L14" t="s">
        <v>18</v>
      </c>
    </row>
    <row r="15" spans="1:14">
      <c r="A15" t="s">
        <v>58</v>
      </c>
      <c r="B15">
        <v>1</v>
      </c>
      <c r="C15" t="s">
        <v>29</v>
      </c>
      <c r="D15" s="3" t="str">
        <f>IF(M15="", "", HYPERLINK(M15, "READ_DATASHEET"))</f>
        <v/>
      </c>
      <c r="E15" s="3" t="str">
        <f>IF(N15="", "", HYPERLINK(N15, "BUY_PART"))</f>
        <v/>
      </c>
      <c r="F15" t="s">
        <v>30</v>
      </c>
      <c r="G15" t="s">
        <v>59</v>
      </c>
      <c r="L15" t="s">
        <v>18</v>
      </c>
    </row>
    <row r="16" spans="1:14">
      <c r="A16" t="s">
        <v>60</v>
      </c>
      <c r="B16">
        <v>1</v>
      </c>
      <c r="C16" t="s">
        <v>29</v>
      </c>
      <c r="D16" s="3" t="str">
        <f>IF(M16="", "", HYPERLINK(M16, "READ_DATASHEET"))</f>
        <v/>
      </c>
      <c r="E16" s="3" t="str">
        <f>IF(N16="", "", HYPERLINK(N16, "BUY_PART"))</f>
        <v/>
      </c>
      <c r="F16" t="s">
        <v>30</v>
      </c>
      <c r="G16" t="s">
        <v>61</v>
      </c>
      <c r="L16" t="s">
        <v>18</v>
      </c>
    </row>
    <row r="17" spans="1:14">
      <c r="A17" t="s">
        <v>62</v>
      </c>
      <c r="B17">
        <v>4</v>
      </c>
      <c r="C17" t="s">
        <v>63</v>
      </c>
      <c r="D17" s="3" t="str">
        <f>IF(M17="", "", HYPERLINK(M17, "READ_DATASHEET"))</f>
        <v/>
      </c>
      <c r="E17" s="3" t="str">
        <f>IF(N17="", "", HYPERLINK(N17, "BUY_PART"))</f>
        <v/>
      </c>
      <c r="F17" t="s">
        <v>64</v>
      </c>
      <c r="G17" t="s">
        <v>65</v>
      </c>
      <c r="L17" t="s">
        <v>18</v>
      </c>
    </row>
    <row r="18" spans="1:14">
      <c r="A18" t="s">
        <v>66</v>
      </c>
      <c r="B18">
        <v>2</v>
      </c>
      <c r="C18" t="s">
        <v>29</v>
      </c>
      <c r="D18" s="3" t="str">
        <f>IF(M18="", "", HYPERLINK(M18, "READ_DATASHEET"))</f>
        <v/>
      </c>
      <c r="E18" s="3" t="str">
        <f>IF(N18="", "", HYPERLINK(N18, "BUY_PART"))</f>
        <v/>
      </c>
      <c r="F18" t="s">
        <v>30</v>
      </c>
      <c r="G18" t="s">
        <v>67</v>
      </c>
      <c r="H18" t="s">
        <v>32</v>
      </c>
      <c r="I18" t="s">
        <v>68</v>
      </c>
      <c r="L18" t="s">
        <v>18</v>
      </c>
    </row>
    <row r="19" spans="1:14">
      <c r="A19" t="s">
        <v>69</v>
      </c>
      <c r="B19">
        <v>6</v>
      </c>
      <c r="C19" t="s">
        <v>63</v>
      </c>
      <c r="D19" s="3" t="str">
        <f>IF(M19="", "", HYPERLINK(M19, "READ_DATASHEET"))</f>
        <v/>
      </c>
      <c r="E19" s="3" t="str">
        <f>IF(N19="", "", HYPERLINK(N19, "BUY_PART"))</f>
        <v/>
      </c>
      <c r="F19" t="s">
        <v>64</v>
      </c>
      <c r="G19" t="s">
        <v>70</v>
      </c>
      <c r="L19" t="s">
        <v>18</v>
      </c>
    </row>
    <row r="20" spans="1:14">
      <c r="A20" t="s">
        <v>71</v>
      </c>
      <c r="B20">
        <v>3</v>
      </c>
      <c r="C20" t="s">
        <v>72</v>
      </c>
      <c r="D20" s="3" t="str">
        <f>IF(M20="", "", HYPERLINK(M20, "READ_DATASHEET"))</f>
        <v>READ_DATASHEET</v>
      </c>
      <c r="E20" s="3" t="str">
        <f>IF(N20="", "", HYPERLINK(N20, "BUY_PART"))</f>
        <v>BUY_PART</v>
      </c>
      <c r="F20" t="s">
        <v>73</v>
      </c>
      <c r="G20" t="s">
        <v>74</v>
      </c>
      <c r="H20" t="s">
        <v>75</v>
      </c>
      <c r="I20" t="s">
        <v>74</v>
      </c>
      <c r="J20" t="s">
        <v>24</v>
      </c>
      <c r="K20" t="s">
        <v>76</v>
      </c>
      <c r="L20" t="s">
        <v>18</v>
      </c>
      <c r="M20" t="s">
        <v>77</v>
      </c>
      <c r="N20" t="s">
        <v>78</v>
      </c>
    </row>
    <row r="21" spans="1:14">
      <c r="A21" t="s">
        <v>79</v>
      </c>
      <c r="B21">
        <v>1</v>
      </c>
      <c r="C21" t="s">
        <v>80</v>
      </c>
      <c r="D21" s="3" t="str">
        <f>IF(M21="", "", HYPERLINK(M21, "READ_DATASHEET"))</f>
        <v>READ_DATASHEET</v>
      </c>
      <c r="E21" s="3" t="str">
        <f>IF(N21="", "", HYPERLINK(N21, "BUY_PART"))</f>
        <v>BUY_PART</v>
      </c>
      <c r="F21" t="s">
        <v>81</v>
      </c>
      <c r="G21" t="s">
        <v>82</v>
      </c>
      <c r="H21" t="s">
        <v>83</v>
      </c>
      <c r="I21" t="s">
        <v>82</v>
      </c>
      <c r="J21" t="s">
        <v>24</v>
      </c>
      <c r="K21" t="s">
        <v>84</v>
      </c>
      <c r="L21" t="s">
        <v>18</v>
      </c>
      <c r="M21" t="s">
        <v>85</v>
      </c>
      <c r="N21" t="s">
        <v>86</v>
      </c>
    </row>
    <row r="22" spans="1:14">
      <c r="A22" t="s">
        <v>87</v>
      </c>
      <c r="B22">
        <v>9</v>
      </c>
      <c r="C22" t="s">
        <v>29</v>
      </c>
      <c r="D22" s="3" t="str">
        <f>IF(M22="", "", HYPERLINK(M22, "READ_DATASHEET"))</f>
        <v/>
      </c>
      <c r="E22" s="3" t="str">
        <f>IF(N22="", "", HYPERLINK(N22, "BUY_PART"))</f>
        <v/>
      </c>
      <c r="F22" t="s">
        <v>30</v>
      </c>
      <c r="G22" t="s">
        <v>88</v>
      </c>
      <c r="L22" t="s">
        <v>18</v>
      </c>
    </row>
    <row r="23" spans="1:14">
      <c r="A23" t="s">
        <v>89</v>
      </c>
      <c r="B23">
        <v>1</v>
      </c>
      <c r="C23" t="s">
        <v>29</v>
      </c>
      <c r="D23" s="3" t="str">
        <f>IF(M23="", "", HYPERLINK(M23, "READ_DATASHEET"))</f>
        <v/>
      </c>
      <c r="E23" s="3" t="str">
        <f>IF(N23="", "", HYPERLINK(N23, "BUY_PART"))</f>
        <v/>
      </c>
      <c r="F23" t="s">
        <v>30</v>
      </c>
      <c r="G23" t="s">
        <v>90</v>
      </c>
      <c r="L23" t="s">
        <v>18</v>
      </c>
    </row>
    <row r="24" spans="1:14">
      <c r="A24" t="s">
        <v>91</v>
      </c>
      <c r="B24">
        <v>1</v>
      </c>
      <c r="C24" t="s">
        <v>92</v>
      </c>
      <c r="D24" s="3" t="str">
        <f>IF(M24="", "", HYPERLINK(M24, "READ_DATASHEET"))</f>
        <v>READ_DATASHEET</v>
      </c>
      <c r="E24" s="3" t="str">
        <f>IF(N24="", "", HYPERLINK(N24, "BUY_PART"))</f>
        <v>BUY_PART</v>
      </c>
      <c r="F24" t="s">
        <v>93</v>
      </c>
      <c r="G24" t="s">
        <v>94</v>
      </c>
      <c r="H24" t="s">
        <v>95</v>
      </c>
      <c r="I24" t="s">
        <v>94</v>
      </c>
      <c r="J24" t="s">
        <v>24</v>
      </c>
      <c r="K24" t="s">
        <v>96</v>
      </c>
      <c r="L24" t="s">
        <v>18</v>
      </c>
      <c r="M24" t="s">
        <v>97</v>
      </c>
      <c r="N24" t="s">
        <v>98</v>
      </c>
    </row>
    <row r="25" spans="1:14">
      <c r="A25" t="s">
        <v>99</v>
      </c>
      <c r="B25">
        <v>1</v>
      </c>
      <c r="C25" t="s">
        <v>100</v>
      </c>
      <c r="D25" s="3" t="str">
        <f>IF(M25="", "", HYPERLINK(M25, "READ_DATASHEET"))</f>
        <v>READ_DATASHEET</v>
      </c>
      <c r="E25" s="3" t="str">
        <f>IF(N25="", "", HYPERLINK(N25, "BUY_PART"))</f>
        <v>BUY_PART</v>
      </c>
      <c r="F25" t="s">
        <v>101</v>
      </c>
      <c r="G25" t="s">
        <v>102</v>
      </c>
      <c r="H25" t="s">
        <v>95</v>
      </c>
      <c r="I25" t="s">
        <v>102</v>
      </c>
      <c r="J25" t="s">
        <v>24</v>
      </c>
      <c r="K25" t="s">
        <v>103</v>
      </c>
      <c r="L25" t="s">
        <v>18</v>
      </c>
      <c r="M25" t="s">
        <v>104</v>
      </c>
      <c r="N25" t="s">
        <v>105</v>
      </c>
    </row>
    <row r="26" spans="1:14">
      <c r="A26" t="s">
        <v>106</v>
      </c>
      <c r="B26">
        <v>1</v>
      </c>
      <c r="C26" t="s">
        <v>107</v>
      </c>
      <c r="D26" s="3" t="str">
        <f>IF(M26="", "", HYPERLINK(M26, "READ_DATASHEET"))</f>
        <v>READ_DATASHEET</v>
      </c>
      <c r="E26" s="3" t="str">
        <f>IF(N26="", "", HYPERLINK(N26, "BUY_PART"))</f>
        <v>BUY_PART</v>
      </c>
      <c r="F26" t="s">
        <v>108</v>
      </c>
      <c r="G26" t="s">
        <v>109</v>
      </c>
      <c r="H26" t="s">
        <v>110</v>
      </c>
      <c r="I26" t="s">
        <v>109</v>
      </c>
      <c r="J26" t="s">
        <v>24</v>
      </c>
      <c r="K26" t="s">
        <v>111</v>
      </c>
      <c r="L26" t="s">
        <v>18</v>
      </c>
      <c r="M26" t="s">
        <v>112</v>
      </c>
      <c r="N26" t="s">
        <v>113</v>
      </c>
    </row>
    <row r="27" spans="1:14">
      <c r="A27" t="s">
        <v>114</v>
      </c>
      <c r="B27">
        <v>1</v>
      </c>
      <c r="C27" t="s">
        <v>115</v>
      </c>
      <c r="D27" s="3" t="str">
        <f>IF(M27="", "", HYPERLINK(M27, "READ_DATASHEET"))</f>
        <v>READ_DATASHEET</v>
      </c>
      <c r="E27" s="3" t="str">
        <f>IF(N27="", "", HYPERLINK(N27, "BUY_PART"))</f>
        <v>BUY_PART</v>
      </c>
      <c r="F27" t="s">
        <v>116</v>
      </c>
      <c r="G27" t="s">
        <v>117</v>
      </c>
      <c r="H27" t="s">
        <v>118</v>
      </c>
      <c r="I27" t="s">
        <v>117</v>
      </c>
      <c r="J27" t="s">
        <v>24</v>
      </c>
      <c r="K27" t="s">
        <v>119</v>
      </c>
      <c r="L27" t="s">
        <v>18</v>
      </c>
      <c r="M27" t="s">
        <v>120</v>
      </c>
      <c r="N27" t="s">
        <v>121</v>
      </c>
    </row>
    <row r="28" spans="1:14">
      <c r="A28" t="s">
        <v>122</v>
      </c>
      <c r="B28">
        <v>1</v>
      </c>
      <c r="C28" t="s">
        <v>123</v>
      </c>
      <c r="D28" s="3" t="str">
        <f>IF(M28="", "", HYPERLINK(M28, "READ_DATASHEET"))</f>
        <v>READ_DATASHEET</v>
      </c>
      <c r="E28" s="3" t="str">
        <f>IF(N28="", "", HYPERLINK(N28, "BUY_PART"))</f>
        <v/>
      </c>
      <c r="F28" t="s">
        <v>124</v>
      </c>
      <c r="G28" t="s">
        <v>125</v>
      </c>
      <c r="H28" t="s">
        <v>126</v>
      </c>
      <c r="I28" t="s">
        <v>125</v>
      </c>
      <c r="L28" t="s">
        <v>18</v>
      </c>
      <c r="M28" t="s">
        <v>127</v>
      </c>
    </row>
    <row r="29" spans="1:14">
      <c r="A29" t="s">
        <v>128</v>
      </c>
      <c r="B29">
        <v>1</v>
      </c>
      <c r="C29" t="s">
        <v>129</v>
      </c>
      <c r="D29" s="3" t="str">
        <f>IF(M29="", "", HYPERLINK(M29, "READ_DATASHEET"))</f>
        <v>READ_DATASHEET</v>
      </c>
      <c r="E29" s="3" t="str">
        <f>IF(N29="", "", HYPERLINK(N29, "BUY_PART"))</f>
        <v>BUY_PART</v>
      </c>
      <c r="F29" t="s">
        <v>130</v>
      </c>
      <c r="G29" t="s">
        <v>131</v>
      </c>
      <c r="H29" t="s">
        <v>132</v>
      </c>
      <c r="I29" t="s">
        <v>131</v>
      </c>
      <c r="J29" t="s">
        <v>24</v>
      </c>
      <c r="K29" t="s">
        <v>133</v>
      </c>
      <c r="L29" t="s">
        <v>18</v>
      </c>
      <c r="M29" t="s">
        <v>134</v>
      </c>
      <c r="N29" t="s">
        <v>135</v>
      </c>
    </row>
    <row r="30" spans="1:14">
      <c r="A30" t="s">
        <v>136</v>
      </c>
      <c r="B30">
        <v>1</v>
      </c>
      <c r="C30" t="s">
        <v>63</v>
      </c>
      <c r="D30" s="3" t="str">
        <f>IF(M30="", "", HYPERLINK(M30, "READ_DATASHEET"))</f>
        <v>READ_DATASHEET</v>
      </c>
      <c r="E30" s="3" t="str">
        <f>IF(N30="", "", HYPERLINK(N30, "BUY_PART"))</f>
        <v>BUY_PART</v>
      </c>
      <c r="F30" t="s">
        <v>137</v>
      </c>
      <c r="G30" t="s">
        <v>138</v>
      </c>
      <c r="H30" t="s">
        <v>139</v>
      </c>
      <c r="I30" t="s">
        <v>138</v>
      </c>
      <c r="J30" t="s">
        <v>24</v>
      </c>
      <c r="K30" t="s">
        <v>140</v>
      </c>
      <c r="L30" t="s">
        <v>18</v>
      </c>
      <c r="M30" t="s">
        <v>141</v>
      </c>
      <c r="N30" t="s">
        <v>142</v>
      </c>
    </row>
    <row r="31" spans="1:14">
      <c r="A31" t="s">
        <v>143</v>
      </c>
      <c r="B31">
        <v>1</v>
      </c>
      <c r="C31" t="s">
        <v>144</v>
      </c>
      <c r="D31" s="3" t="str">
        <f>IF(M31="", "", HYPERLINK(M31, "READ_DATASHEET"))</f>
        <v/>
      </c>
      <c r="E31" s="3"/>
      <c r="F31" t="s">
        <v>145</v>
      </c>
      <c r="G31" t="s">
        <v>146</v>
      </c>
      <c r="L31" t="s">
        <v>18</v>
      </c>
    </row>
    <row r="32" spans="1:14">
      <c r="A32" t="s">
        <v>147</v>
      </c>
      <c r="B32">
        <v>1</v>
      </c>
      <c r="D32" s="3" t="str">
        <f>IF(M32="", "", HYPERLINK(M32, "READ_DATASHEET"))</f>
        <v/>
      </c>
      <c r="E32" s="3" t="str">
        <f>IF(N32="", "", HYPERLINK(N32, "BUY_PART"))</f>
        <v/>
      </c>
      <c r="F32" t="s">
        <v>148</v>
      </c>
      <c r="G32" t="s">
        <v>149</v>
      </c>
      <c r="L32" t="s">
        <v>18</v>
      </c>
    </row>
    <row r="33" spans="1:14">
      <c r="A33" t="s">
        <v>150</v>
      </c>
      <c r="B33">
        <v>1</v>
      </c>
      <c r="C33" t="s">
        <v>144</v>
      </c>
      <c r="D33" s="3" t="str">
        <f>IF(M33="", "", HYPERLINK(M33, "READ_DATASHEET"))</f>
        <v/>
      </c>
      <c r="E33" s="3" t="str">
        <f>IF(N33="", "", HYPERLINK(N33, "BUY_PART"))</f>
        <v/>
      </c>
      <c r="F33" t="s">
        <v>151</v>
      </c>
      <c r="G33" t="s">
        <v>152</v>
      </c>
      <c r="L33" t="s">
        <v>18</v>
      </c>
    </row>
    <row r="34" spans="1:14">
      <c r="A34" t="s">
        <v>153</v>
      </c>
      <c r="B34">
        <v>1</v>
      </c>
      <c r="C34" t="s">
        <v>144</v>
      </c>
      <c r="D34" s="3" t="str">
        <f>IF(M34="", "", HYPERLINK(M34, "READ_DATASHEET"))</f>
        <v/>
      </c>
      <c r="E34" s="3" t="str">
        <f>IF(N34="", "", HYPERLINK(N34, "BUY_PART"))</f>
        <v/>
      </c>
      <c r="F34" t="s">
        <v>151</v>
      </c>
      <c r="G34" t="s">
        <v>154</v>
      </c>
      <c r="L34" t="s">
        <v>18</v>
      </c>
    </row>
    <row r="35" spans="1:14">
      <c r="A35" t="s">
        <v>155</v>
      </c>
      <c r="B35">
        <v>1</v>
      </c>
      <c r="C35" t="s">
        <v>156</v>
      </c>
      <c r="D35" s="3" t="str">
        <f>IF(M35="", "", HYPERLINK(M35, "READ_DATASHEET"))</f>
        <v/>
      </c>
      <c r="E35" s="3" t="str">
        <f>IF(N35="", "", HYPERLINK(N35, "BUY_PART"))</f>
        <v>BUY_PART</v>
      </c>
      <c r="F35" t="s">
        <v>157</v>
      </c>
      <c r="G35" t="s">
        <v>158</v>
      </c>
      <c r="H35" t="s">
        <v>159</v>
      </c>
      <c r="I35" t="s">
        <v>158</v>
      </c>
      <c r="J35" t="s">
        <v>24</v>
      </c>
      <c r="K35" t="s">
        <v>160</v>
      </c>
      <c r="L35" t="s">
        <v>18</v>
      </c>
      <c r="N35" t="s">
        <v>161</v>
      </c>
    </row>
    <row r="36" spans="1:14">
      <c r="A36" t="s">
        <v>162</v>
      </c>
      <c r="B36">
        <v>1</v>
      </c>
      <c r="C36" t="s">
        <v>163</v>
      </c>
      <c r="D36" s="3" t="str">
        <f>IF(M36="", "", HYPERLINK(M36, "READ_DATASHEET"))</f>
        <v>READ_DATASHEET</v>
      </c>
      <c r="E36" s="3" t="str">
        <f>IF(N36="", "", HYPERLINK(N36, "BUY_PART"))</f>
        <v>BUY_PART</v>
      </c>
      <c r="F36" t="s">
        <v>164</v>
      </c>
      <c r="G36" t="s">
        <v>165</v>
      </c>
      <c r="H36" t="s">
        <v>166</v>
      </c>
      <c r="I36" t="s">
        <v>167</v>
      </c>
      <c r="J36" t="s">
        <v>24</v>
      </c>
      <c r="K36" t="s">
        <v>168</v>
      </c>
      <c r="L36" t="s">
        <v>18</v>
      </c>
      <c r="M36" t="s">
        <v>169</v>
      </c>
      <c r="N36" t="s">
        <v>170</v>
      </c>
    </row>
    <row r="37" spans="1:14">
      <c r="A37" t="s">
        <v>171</v>
      </c>
      <c r="B37">
        <v>1</v>
      </c>
      <c r="C37" t="s">
        <v>172</v>
      </c>
      <c r="D37" s="3" t="str">
        <f>IF(M37="", "", HYPERLINK(M37, "READ_DATASHEET"))</f>
        <v>READ_DATASHEET</v>
      </c>
      <c r="E37" s="3" t="str">
        <f>IF(N37="", "", HYPERLINK(N37, "BUY_PART"))</f>
        <v>BUY_PART</v>
      </c>
      <c r="F37" t="s">
        <v>173</v>
      </c>
      <c r="G37" t="s">
        <v>174</v>
      </c>
      <c r="H37" t="s">
        <v>175</v>
      </c>
      <c r="I37" t="s">
        <v>174</v>
      </c>
      <c r="J37" t="s">
        <v>24</v>
      </c>
      <c r="K37" t="s">
        <v>176</v>
      </c>
      <c r="L37" t="s">
        <v>18</v>
      </c>
      <c r="M37" t="s">
        <v>177</v>
      </c>
      <c r="N37" t="s">
        <v>178</v>
      </c>
    </row>
    <row r="38" spans="1:14">
      <c r="A38" t="s">
        <v>179</v>
      </c>
      <c r="B38">
        <v>1</v>
      </c>
      <c r="C38" t="s">
        <v>180</v>
      </c>
      <c r="D38" s="3" t="str">
        <f>IF(M38="", "", HYPERLINK(M38, "READ_DATASHEET"))</f>
        <v>READ_DATASHEET</v>
      </c>
      <c r="E38" s="3" t="str">
        <f>IF(N38="", "", HYPERLINK(N38, "BUY_PART"))</f>
        <v>BUY_PART</v>
      </c>
      <c r="F38" t="s">
        <v>181</v>
      </c>
      <c r="G38" t="s">
        <v>182</v>
      </c>
      <c r="H38" t="s">
        <v>183</v>
      </c>
      <c r="I38" t="s">
        <v>184</v>
      </c>
      <c r="J38" t="s">
        <v>24</v>
      </c>
      <c r="K38" t="s">
        <v>185</v>
      </c>
      <c r="L38" t="s">
        <v>18</v>
      </c>
      <c r="M38" t="s">
        <v>186</v>
      </c>
      <c r="N38" t="s">
        <v>187</v>
      </c>
    </row>
    <row r="39" spans="1:14">
      <c r="A39" t="s">
        <v>188</v>
      </c>
      <c r="B39">
        <v>1</v>
      </c>
      <c r="C39" t="s">
        <v>180</v>
      </c>
      <c r="D39" s="3" t="str">
        <f>IF(M39="", "", HYPERLINK(M39, "READ_DATASHEET"))</f>
        <v/>
      </c>
      <c r="E39" s="3" t="str">
        <f>IF(N39="", "", HYPERLINK(N39, "BUY_PART"))</f>
        <v/>
      </c>
      <c r="F39" t="s">
        <v>181</v>
      </c>
      <c r="G39">
        <v>2.2000000000000002</v>
      </c>
      <c r="L39" t="s">
        <v>18</v>
      </c>
    </row>
    <row r="40" spans="1:14">
      <c r="A40" t="s">
        <v>189</v>
      </c>
      <c r="B40">
        <v>1</v>
      </c>
      <c r="C40" t="s">
        <v>180</v>
      </c>
      <c r="D40" s="3" t="str">
        <f>IF(M40="", "", HYPERLINK(M40, "READ_DATASHEET"))</f>
        <v/>
      </c>
      <c r="E40" s="3" t="str">
        <f>IF(N40="", "", HYPERLINK(N40, "BUY_PART"))</f>
        <v/>
      </c>
      <c r="F40" t="s">
        <v>181</v>
      </c>
      <c r="G40">
        <v>0.47</v>
      </c>
      <c r="L40" t="s">
        <v>18</v>
      </c>
    </row>
    <row r="41" spans="1:14">
      <c r="A41" t="s">
        <v>190</v>
      </c>
      <c r="B41">
        <v>2</v>
      </c>
      <c r="C41" t="s">
        <v>180</v>
      </c>
      <c r="D41" s="3" t="str">
        <f>IF(M41="", "", HYPERLINK(M41, "READ_DATASHEET"))</f>
        <v/>
      </c>
      <c r="E41" s="3" t="str">
        <f>IF(N41="", "", HYPERLINK(N41, "BUY_PART"))</f>
        <v/>
      </c>
      <c r="F41" t="s">
        <v>181</v>
      </c>
      <c r="G41" t="s">
        <v>191</v>
      </c>
      <c r="L41" t="s">
        <v>18</v>
      </c>
    </row>
    <row r="42" spans="1:14">
      <c r="A42" t="s">
        <v>192</v>
      </c>
      <c r="B42">
        <v>3</v>
      </c>
      <c r="C42" t="s">
        <v>180</v>
      </c>
      <c r="D42" s="3" t="str">
        <f>IF(M42="", "", HYPERLINK(M42, "READ_DATASHEET"))</f>
        <v/>
      </c>
      <c r="E42" s="3" t="str">
        <f>IF(N42="", "", HYPERLINK(N42, "BUY_PART"))</f>
        <v/>
      </c>
      <c r="F42" t="s">
        <v>181</v>
      </c>
      <c r="G42">
        <v>0</v>
      </c>
      <c r="L42" t="s">
        <v>18</v>
      </c>
    </row>
    <row r="43" spans="1:14">
      <c r="A43" t="s">
        <v>193</v>
      </c>
      <c r="B43">
        <v>4</v>
      </c>
      <c r="C43" t="s">
        <v>180</v>
      </c>
      <c r="D43" s="3" t="str">
        <f>IF(M43="", "", HYPERLINK(M43, "READ_DATASHEET"))</f>
        <v>READ_DATASHEET</v>
      </c>
      <c r="E43" s="3" t="str">
        <f>IF(N43="", "", HYPERLINK(N43, "BUY_PART"))</f>
        <v>BUY_PART</v>
      </c>
      <c r="F43" t="s">
        <v>181</v>
      </c>
      <c r="G43" t="s">
        <v>194</v>
      </c>
      <c r="H43" t="s">
        <v>183</v>
      </c>
      <c r="I43" t="s">
        <v>184</v>
      </c>
      <c r="J43" t="s">
        <v>24</v>
      </c>
      <c r="K43" t="s">
        <v>185</v>
      </c>
      <c r="L43" t="s">
        <v>18</v>
      </c>
      <c r="M43" t="s">
        <v>186</v>
      </c>
      <c r="N43" t="s">
        <v>187</v>
      </c>
    </row>
    <row r="44" spans="1:14">
      <c r="A44" t="s">
        <v>195</v>
      </c>
      <c r="B44">
        <v>1</v>
      </c>
      <c r="C44" t="s">
        <v>180</v>
      </c>
      <c r="D44" s="3" t="str">
        <f>IF(M44="", "", HYPERLINK(M44, "READ_DATASHEET"))</f>
        <v>READ_DATASHEET</v>
      </c>
      <c r="E44" s="3" t="str">
        <f>IF(N44="", "", HYPERLINK(N44, "BUY_PART"))</f>
        <v>BUY_PART</v>
      </c>
      <c r="F44" t="s">
        <v>196</v>
      </c>
      <c r="G44" t="s">
        <v>182</v>
      </c>
      <c r="H44" t="s">
        <v>183</v>
      </c>
      <c r="I44" t="s">
        <v>184</v>
      </c>
      <c r="J44" t="s">
        <v>24</v>
      </c>
      <c r="K44" t="s">
        <v>185</v>
      </c>
      <c r="L44" t="s">
        <v>18</v>
      </c>
      <c r="M44" t="s">
        <v>186</v>
      </c>
      <c r="N44" t="s">
        <v>187</v>
      </c>
    </row>
    <row r="45" spans="1:14">
      <c r="A45" t="s">
        <v>197</v>
      </c>
      <c r="B45">
        <v>2</v>
      </c>
      <c r="C45" t="s">
        <v>180</v>
      </c>
      <c r="D45" s="3" t="str">
        <f>IF(M45="", "", HYPERLINK(M45, "READ_DATASHEET"))</f>
        <v/>
      </c>
      <c r="E45" s="3" t="str">
        <f>IF(N45="", "", HYPERLINK(N45, "BUY_PART"))</f>
        <v/>
      </c>
      <c r="F45" t="s">
        <v>181</v>
      </c>
      <c r="G45" t="s">
        <v>198</v>
      </c>
      <c r="L45" t="s">
        <v>18</v>
      </c>
    </row>
    <row r="46" spans="1:14">
      <c r="A46" t="s">
        <v>199</v>
      </c>
      <c r="B46">
        <v>1</v>
      </c>
      <c r="C46" t="s">
        <v>200</v>
      </c>
      <c r="D46" s="3" t="str">
        <f>IF(M46="", "", HYPERLINK(M46, "READ_DATASHEET"))</f>
        <v/>
      </c>
      <c r="E46" s="3" t="str">
        <f>IF(N46="", "", HYPERLINK(N46, "BUY_PART"))</f>
        <v/>
      </c>
      <c r="F46" t="s">
        <v>201</v>
      </c>
      <c r="L46" t="s">
        <v>18</v>
      </c>
    </row>
    <row r="47" spans="1:14">
      <c r="A47" t="s">
        <v>202</v>
      </c>
      <c r="B47">
        <v>3</v>
      </c>
      <c r="D47" s="3" t="str">
        <f>IF(M47="", "", HYPERLINK(M47, "READ_DATASHEET"))</f>
        <v>READ_DATASHEET</v>
      </c>
      <c r="E47" s="3" t="str">
        <f>IF(N47="", "", HYPERLINK(N47, "BUY_PART"))</f>
        <v>BUY_PART</v>
      </c>
      <c r="F47" t="s">
        <v>203</v>
      </c>
      <c r="G47" t="s">
        <v>204</v>
      </c>
      <c r="H47" t="s">
        <v>205</v>
      </c>
      <c r="I47" t="s">
        <v>206</v>
      </c>
      <c r="J47" t="s">
        <v>24</v>
      </c>
      <c r="K47" t="s">
        <v>207</v>
      </c>
      <c r="L47" t="s">
        <v>18</v>
      </c>
      <c r="M47" t="s">
        <v>208</v>
      </c>
      <c r="N47" t="s">
        <v>209</v>
      </c>
    </row>
    <row r="48" spans="1:14">
      <c r="A48" t="s">
        <v>210</v>
      </c>
      <c r="B48">
        <v>1</v>
      </c>
      <c r="C48" t="s">
        <v>63</v>
      </c>
      <c r="D48" s="3" t="str">
        <f>IF(M48="", "", HYPERLINK(M48, "READ_DATASHEET"))</f>
        <v>READ_DATASHEET</v>
      </c>
      <c r="E48" s="3" t="str">
        <f>IF(N48="", "", HYPERLINK(N48, "BUY_PART"))</f>
        <v>BUY_PART</v>
      </c>
      <c r="F48" t="s">
        <v>211</v>
      </c>
      <c r="G48" t="s">
        <v>212</v>
      </c>
      <c r="H48" t="s">
        <v>213</v>
      </c>
      <c r="I48" t="s">
        <v>212</v>
      </c>
      <c r="J48" t="s">
        <v>24</v>
      </c>
      <c r="K48" t="s">
        <v>214</v>
      </c>
      <c r="L48" t="s">
        <v>18</v>
      </c>
      <c r="M48" t="s">
        <v>215</v>
      </c>
      <c r="N48" t="s">
        <v>216</v>
      </c>
    </row>
    <row r="49" spans="1:14">
      <c r="A49" t="s">
        <v>217</v>
      </c>
      <c r="B49">
        <v>1</v>
      </c>
      <c r="C49" t="s">
        <v>218</v>
      </c>
      <c r="D49" s="3" t="str">
        <f>IF(M49="", "", HYPERLINK(M49, "READ_DATASHEET"))</f>
        <v>READ_DATASHEET</v>
      </c>
      <c r="E49" s="3" t="str">
        <f>IF(N49="", "", HYPERLINK(N49, "BUY_PART"))</f>
        <v>BUY_PART</v>
      </c>
      <c r="F49" t="s">
        <v>219</v>
      </c>
      <c r="G49" t="s">
        <v>220</v>
      </c>
      <c r="H49" t="s">
        <v>221</v>
      </c>
      <c r="I49" t="s">
        <v>222</v>
      </c>
      <c r="J49" t="s">
        <v>24</v>
      </c>
      <c r="K49" t="s">
        <v>223</v>
      </c>
      <c r="L49" t="s">
        <v>18</v>
      </c>
      <c r="M49" t="s">
        <v>224</v>
      </c>
      <c r="N49" t="s">
        <v>225</v>
      </c>
    </row>
    <row r="50" spans="1:14">
      <c r="A50" t="s">
        <v>226</v>
      </c>
      <c r="B50">
        <v>1</v>
      </c>
      <c r="D50" s="3" t="str">
        <f>IF(M50="", "", HYPERLINK(M50, "READ_DATASHEET"))</f>
        <v>READ_DATASHEET</v>
      </c>
      <c r="E50" s="3" t="str">
        <f>IF(N50="", "", HYPERLINK(N50, "BUY_PART"))</f>
        <v>BUY_PART</v>
      </c>
      <c r="F50" t="s">
        <v>227</v>
      </c>
      <c r="G50" t="s">
        <v>228</v>
      </c>
      <c r="H50" t="s">
        <v>229</v>
      </c>
      <c r="I50" t="s">
        <v>230</v>
      </c>
      <c r="J50" t="s">
        <v>24</v>
      </c>
      <c r="K50" t="s">
        <v>231</v>
      </c>
      <c r="L50" t="s">
        <v>18</v>
      </c>
      <c r="M50" t="s">
        <v>232</v>
      </c>
      <c r="N50" t="s">
        <v>233</v>
      </c>
    </row>
    <row r="51" spans="1:14">
      <c r="A51" t="s">
        <v>234</v>
      </c>
      <c r="B51">
        <v>1</v>
      </c>
      <c r="D51" s="3" t="str">
        <f>IF(M51="", "", HYPERLINK(M51, "READ_DATASHEET"))</f>
        <v>READ_DATASHEET</v>
      </c>
      <c r="E51" s="3" t="str">
        <f>IF(N51="", "", HYPERLINK(N51, "BUY_PART"))</f>
        <v>BUY_PART</v>
      </c>
      <c r="F51" t="s">
        <v>235</v>
      </c>
      <c r="G51" t="s">
        <v>236</v>
      </c>
      <c r="H51" t="s">
        <v>229</v>
      </c>
      <c r="I51" t="s">
        <v>237</v>
      </c>
      <c r="J51" t="s">
        <v>24</v>
      </c>
      <c r="K51" t="s">
        <v>238</v>
      </c>
      <c r="L51" t="s">
        <v>18</v>
      </c>
      <c r="M51" t="s">
        <v>239</v>
      </c>
      <c r="N51" t="s">
        <v>240</v>
      </c>
    </row>
    <row r="52" spans="1:14">
      <c r="E52" s="3" t="str">
        <f>IF(N52="", "", HYPERLINK(N52, "BUY_PART"))</f>
        <v/>
      </c>
    </row>
  </sheetData>
  <hyperlinks>
    <hyperlink ref="M4" r:id="rId1" xr:uid="{1102912A-E04C-4175-9847-DC7C9B9E83DB}"/>
    <hyperlink ref="N4" r:id="rId2" xr:uid="{992EB0B5-AD65-45E6-A290-0BE6323EEC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2026-03-29T19:28:59Z</dcterms:created>
  <dcterms:modified xsi:type="dcterms:W3CDTF">2026-04-10T20:34:25Z</dcterms:modified>
  <cp:category/>
  <cp:contentStatus/>
</cp:coreProperties>
</file>